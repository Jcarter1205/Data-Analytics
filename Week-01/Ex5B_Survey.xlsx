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adacarter\Documents\DataAnalytics\Week-01\"/>
    </mc:Choice>
  </mc:AlternateContent>
  <xr:revisionPtr revIDLastSave="0" documentId="8_{392F1A5A-0390-4EE6-AEC2-733DF25BCFE2}" xr6:coauthVersionLast="47" xr6:coauthVersionMax="47" xr10:uidLastSave="{00000000-0000-0000-0000-000000000000}"/>
  <bookViews>
    <workbookView xWindow="2652" yWindow="2652" windowWidth="13008" windowHeight="9960" activeTab="1" xr2:uid="{00000000-000D-0000-FFFF-FFFF00000000}"/>
  </bookViews>
  <sheets>
    <sheet name="Sheet1" sheetId="1" r:id="rId1"/>
    <sheet name="Survey Analysis" sheetId="2" r:id="rId2"/>
  </sheets>
  <calcPr calcId="191029"/>
  <pivotCaches>
    <pivotCache cacheId="5"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 i="1" l="1"/>
  <c r="S6" i="1"/>
  <c r="S5" i="1"/>
  <c r="S4" i="1"/>
  <c r="S3" i="1"/>
  <c r="S2" i="1"/>
  <c r="S2" i="1"/>
  <c r="S3" i="1"/>
  <c r="S4" i="1"/>
  <c r="I6" i="1"/>
  <c r="D6" i="1"/>
  <c r="D5" i="1"/>
  <c r="D4" i="1"/>
  <c r="D3" i="1"/>
  <c r="D2" i="1"/>
</calcChain>
</file>

<file path=xl/sharedStrings.xml><?xml version="1.0" encoding="utf-8"?>
<sst xmlns="http://schemas.openxmlformats.org/spreadsheetml/2006/main" count="80" uniqueCount="59">
  <si>
    <t>ID</t>
  </si>
  <si>
    <t>Start time</t>
  </si>
  <si>
    <t>Completion time</t>
  </si>
  <si>
    <t>Email</t>
  </si>
  <si>
    <t>Name</t>
  </si>
  <si>
    <t>Last modified time</t>
  </si>
  <si>
    <t xml:space="preserve">The Cheesecake Factory Customer Experience &amp; Rewards Program Survey
</t>
  </si>
  <si>
    <t>How would you rate your overall experience during your most recent visit?</t>
  </si>
  <si>
    <t>What did you order during your visit? If you have visited more than once, what is your favorite item or go to order?</t>
  </si>
  <si>
    <t>What did you enjoy most about your visit?</t>
  </si>
  <si>
    <t xml:space="preserve">How likely are you to recommend The Cheesecake Factory to friends or family?
</t>
  </si>
  <si>
    <t xml:space="preserve">Which reward would encourage you to visit more often?
</t>
  </si>
  <si>
    <t xml:space="preserve">How would you prefer to receive rewards and promotions?
</t>
  </si>
  <si>
    <t xml:space="preserve"> Which new perk would interest you the most?
</t>
  </si>
  <si>
    <t>What suggestions do you have for improving your experience at The Cheesecake Factory? Please share any ideas, comments, or feedback that could help improve the food, service, atmosphere, or reward...</t>
  </si>
  <si>
    <t>ilee@my.yearupunited.org</t>
  </si>
  <si>
    <t>idasha lee</t>
  </si>
  <si>
    <t>2–3 times a month</t>
  </si>
  <si>
    <t>Pigs in a blanket, Terriyaki Salmon Bowl, Crab Dip, Fried Calamari and coconut cream cake cheesecake. My fav was the coconut cream cheesecake.</t>
  </si>
  <si>
    <t>Food quality;Menu Variety;Cheesecake selection;Value for money;</t>
  </si>
  <si>
    <t>Somewhat likely</t>
  </si>
  <si>
    <t>Free slice of cheesecake</t>
  </si>
  <si>
    <t>Mobile App</t>
  </si>
  <si>
    <t>Members-only discounts</t>
  </si>
  <si>
    <t xml:space="preserve">As much as I love how versatile the food selection is I made my waiter actually wait 3 hours before I could finally pick which food items I wanted to try. Next visit I will try 15 more items on this humongous menu. </t>
  </si>
  <si>
    <t>amccutcheon@my.yearupunited.org</t>
  </si>
  <si>
    <t>arionsae mccutcheon</t>
  </si>
  <si>
    <t>A few times a year</t>
  </si>
  <si>
    <t>I ordered a Pineapple Upside Down Cheesecake Slice. Its my go-to and was delicious.</t>
  </si>
  <si>
    <t>Menu Variety;Restaurant atmosphere;Cheesecake selection;Value for money;</t>
  </si>
  <si>
    <t>Very likely</t>
  </si>
  <si>
    <t>I would like free meals.</t>
  </si>
  <si>
    <t>I suggest you find a way to show customer appreciation a little more.</t>
  </si>
  <si>
    <t>cspringer@my.yearupunited.org</t>
  </si>
  <si>
    <t>christopher springer</t>
  </si>
  <si>
    <t>This was my first visit</t>
  </si>
  <si>
    <t>Chicken Parm Sandwich</t>
  </si>
  <si>
    <t>Food quality;Customer Service;Menu Variety;Restaurant atmosphere;</t>
  </si>
  <si>
    <t>Points toward free meals</t>
  </si>
  <si>
    <t>Through an app</t>
  </si>
  <si>
    <t>Add more locations in NYC please!!</t>
  </si>
  <si>
    <t>dmendez1@my.yearupunited.org</t>
  </si>
  <si>
    <t>denae mendez</t>
  </si>
  <si>
    <t>I ordered cinnamon pancakes and a slice of tiramisu cake</t>
  </si>
  <si>
    <t>Food quality;Customer Service;Menu Variety;Restaurant atmosphere;Cheesecake selection;</t>
  </si>
  <si>
    <t>The food was delicious! No complaints!</t>
  </si>
  <si>
    <t>Time</t>
  </si>
  <si>
    <t>Averages</t>
  </si>
  <si>
    <t>Survey Summary</t>
  </si>
  <si>
    <t>Result</t>
  </si>
  <si>
    <t>Responses</t>
  </si>
  <si>
    <t>Average completion time</t>
  </si>
  <si>
    <t>Average experience rating</t>
  </si>
  <si>
    <t>Somewhat or Very likely to recommend</t>
  </si>
  <si>
    <t>Free cheesecake reward preference</t>
  </si>
  <si>
    <t>Members-only discounts preference</t>
  </si>
  <si>
    <t>Response Count</t>
  </si>
  <si>
    <t>Cheesecake Factory Survey Analysis</t>
  </si>
  <si>
    <t>Pivot-based summaries of recommendation intent and preferred rewards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</si>
</sst>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ss"/>
    <numFmt numFmtId="165" formatCode="mm/dd/yyyy\ hh:mm:ss"/>
    <numFmt numFmtId="166" formatCode="0.0"/>
  </numFmts>
  <fonts count="4" x14ac:knownFonts="1">
    <font>
      <sz val="11"/>
      <color theme="1"/>
      <name val="Calibri"/>
      <family val="2"/>
      <scheme val="minor"/>
    </font>
    <font>
      <b/>
      <sz val="11"/>
      <color rgb="FFFFFFFF"/>
      <name val="Calibri"/>
      <family val="2"/>
      <scheme val="minor"/>
    </font>
    <font>
      <b/>
      <sz val="16"/>
      <color rgb="FFFFFFFF"/>
      <name val="Calibri"/>
      <family val="2"/>
      <scheme val="minor"/>
    </font>
    <font>
      <sz val="11"/>
      <color rgb="FF666666"/>
      <name val="Calibri"/>
      <family val="2"/>
      <scheme val="minor"/>
    </font>
  </fonts>
  <fills count="4">
    <fill>
      <patternFill patternType="none"/>
    </fill>
    <fill>
      <patternFill patternType="gray125"/>
    </fill>
    <fill>
      <patternFill patternType="solid">
        <fgColor rgb="FF5B2333"/>
        <bgColor indexed="64"/>
      </patternFill>
    </fill>
    <fill>
      <patternFill patternType="solid">
        <fgColor rgb="FFF8F3F4"/>
        <bgColor indexed="64"/>
      </patternFill>
    </fill>
  </fills>
  <borders count="1">
    <border>
      <left/>
      <right/>
      <top/>
      <bottom/>
      <diagonal/>
    </border>
  </borders>
  <cellStyleXfs count="1">
    <xf numFmtId="0" fontId="0" fillId="0" borderId="0"/>
  </cellStyleXfs>
  <cellXfs count="15">
    <xf numFmtId="0" fontId="0" fillId="0" borderId="0" xfId="0"/>
    <xf numFmtId="164" fontId="0" fillId="0" borderId="0" xfId="0" applyNumberFormat="1"/>
    <xf numFmtId="45" fontId="0" fillId="0" borderId="0" xfId="0" applyNumberFormat="1"/>
    <xf numFmtId="165" fontId="0" fillId="0" borderId="0" xfId="0" applyNumberFormat="1"/>
    <xf numFmtId="166" fontId="0" fillId="0" borderId="0" xfId="0" applyNumberFormat="1"/>
    <xf numFmtId="0" fontId="1" fillId="2" borderId="0" xfId="0" applyFont="1" applyFill="1"/>
    <xf numFmtId="0" fontId="0" fillId="3" borderId="0" xfId="0" applyFill="1"/>
    <xf numFmtId="45" fontId="0" fillId="3" borderId="0" xfId="0" applyNumberFormat="1" applyFill="1"/>
    <xf numFmtId="166" fontId="0" fillId="3" borderId="0" xfId="0" applyNumberFormat="1" applyFill="1"/>
    <xf numFmtId="0" fontId="1" fillId="2" borderId="0" xfId="0" applyFont="1" applyFill="1" applyAlignment="1">
      <alignment wrapText="1"/>
    </xf>
    <xf numFmtId="0" fontId="0" fillId="3" borderId="0" xfId="0" applyFill="1" applyAlignment="1">
      <alignment wrapText="1"/>
    </xf>
    <xf numFmtId="0" fontId="0" fillId="0" borderId="0" xfId="0" pivotButton="1"/>
    <xf numFmtId="0" fontId="0" fillId="0" borderId="0" xfId="0" applyNumberFormat="1"/>
    <xf numFmtId="0" fontId="2" fillId="2" borderId="0" xfId="0" applyFont="1" applyFill="1"/>
    <xf numFmtId="0" fontId="3" fillId="0" borderId="0" xfId="0" applyFont="1"/>
  </cellXfs>
  <cellStyles count="1">
    <cellStyle name="Normal" xfId="0" builtinId="0"/>
  </cellStyles>
  <dxfs count="18">
    <dxf>
      <numFmt numFmtId="166" formatCode="0.0"/>
    </dxf>
    <dxf>
      <numFmt numFmtId="28" formatCode="mm:ss"/>
    </dxf>
    <dxf>
      <numFmt numFmtId="165" formatCode="mm/dd/yyyy\ hh:mm:ss"/>
    </dxf>
    <dxf>
      <numFmt numFmtId="165" formatCode="mm/dd/yyyy\ hh:mm:ss"/>
    </dxf>
    <dxf>
      <numFmt numFmtId="28" formatCode="mm:ss"/>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[Ex5A_Survey.xlsx]Survey Analysis!RecommendationPivot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Likelihood to Recommend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E3B46"/>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'Survey Analysis'!$B$5</c:f>
              <c:strCache>
                <c:ptCount val="1"/>
                <c:pt idx="0">
                  <c:v>Total</c:v>
                </c:pt>
              </c:strCache>
            </c:strRef>
          </c:tx>
          <c:spPr>
            <a:solidFill>
              <a:srgbClr val="8E3B46"/>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'Survey Analysis'!$A$6:$A$7</c:f>
              <c:strCache>
                <c:ptCount val="2"/>
                <c:pt idx="0">
                  <c:v>Somewhat likely</c:v>
                </c:pt>
                <c:pt idx="1">
                  <c:v>Very likely</c:v>
                </c:pt>
              </c:strCache>
            </c:strRef>
          </c:cat>
          <c:val>
            <c:numRef>
              <c:f>'Survey Analysis'!$B$6:$B$7</c:f>
              <c:numCache>
                <c:formatCode>General</c:formatCode>
                <c:ptCount val="2"/>
                <c:pt idx="0">
                  <c:v>1</c:v>
                </c:pt>
                <c:pt idx="1">
                  <c:v>3</c:v>
                </c:pt>
              </c:numCache>
            </c:numRef>
          </c:val>
          <c:extLst>
            <c:ext xmlns:c16="http://schemas.microsoft.com/office/drawing/2014/chart" uri="{C3380CC4-5D6E-409C-BE32-E72D297353CC}">
              <c16:uniqueId val="{00000000-05CE-4216-AE96-57FD885909CD}"/>
            </c:ext>
          </c:extLst>
        </c:ser>
        <c:dLbls>
          <c:showLegendKey val="0"/>
          <c:showVal val="0"/>
          <c:showCatName val="0"/>
          <c:showSerName val="0"/>
          <c:showPercent val="0"/>
          <c:showBubbleSize val="0"/>
        </c:dLbls>
        <c:gapWidth val="182"/>
        <c:axId val="1248808447"/>
        <c:axId val="2102294831"/>
      </c:barChart>
      <c:catAx>
        <c:axId val="1248808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294831"/>
        <c:crosses val="autoZero"/>
        <c:auto val="1"/>
        <c:lblAlgn val="ctr"/>
        <c:lblOffset val="100"/>
        <c:noMultiLvlLbl val="0"/>
      </c:catAx>
      <c:valAx>
        <c:axId val="2102294831"/>
        <c:scaling>
          <c:orientation val="minMax"/>
          <c:max val="4"/>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80844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[Ex5A_Survey.xlsx]Survey Analysis!RewardPivot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Preferred Visit Rewards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4A373"/>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'Survey Analysis'!$B$15</c:f>
              <c:strCache>
                <c:ptCount val="1"/>
                <c:pt idx="0">
                  <c:v>Total</c:v>
                </c:pt>
              </c:strCache>
            </c:strRef>
          </c:tx>
          <c:spPr>
            <a:solidFill>
              <a:srgbClr val="D4A373"/>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'Survey Analysis'!$A$16:$A$17</c:f>
              <c:strCache>
                <c:ptCount val="2"/>
                <c:pt idx="0">
                  <c:v>Free slice of cheesecake</c:v>
                </c:pt>
                <c:pt idx="1">
                  <c:v>Points toward free meals</c:v>
                </c:pt>
              </c:strCache>
            </c:strRef>
          </c:cat>
          <c:val>
            <c:numRef>
              <c:f>'Survey Analysis'!$B$16:$B$17</c:f>
              <c:numCache>
                <c:formatCode>General</c:formatCode>
                <c:ptCount val="2"/>
                <c:pt idx="0">
                  <c:v>3</c:v>
                </c:pt>
                <c:pt idx="1">
                  <c:v>1</c:v>
                </c:pt>
              </c:numCache>
            </c:numRef>
          </c:val>
          <c:extLst>
            <c:ext xmlns:c16="http://schemas.microsoft.com/office/drawing/2014/chart" uri="{C3380CC4-5D6E-409C-BE32-E72D297353CC}">
              <c16:uniqueId val="{00000000-4947-4269-8FD8-046D098CC76D}"/>
            </c:ext>
          </c:extLst>
        </c:ser>
        <c:dLbls>
          <c:showLegendKey val="0"/>
          <c:showVal val="0"/>
          <c:showCatName val="0"/>
          <c:showSerName val="0"/>
          <c:showPercent val="0"/>
          <c:showBubbleSize val="0"/>
        </c:dLbls>
        <c:gapWidth val="219"/>
        <c:overlap val="-27"/>
        <c:axId val="1248762047"/>
        <c:axId val="2102194511"/>
      </c:barChart>
      <c:catAx>
        <c:axId val="124876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2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194511"/>
        <c:crosses val="autoZero"/>
        <c:auto val="1"/>
        <c:lblAlgn val="ctr"/>
        <c:lblOffset val="100"/>
        <c:noMultiLvlLbl val="0"/>
      </c:catAx>
      <c:valAx>
        <c:axId val="2102194511"/>
        <c:scaling>
          <c:orientation val="minMax"/>
          <c:max val="4"/>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76204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0</xdr:rowOff>
    </xdr:from>
    <xdr:to>
      <xdr:col>11</xdr:col>
      <xdr:colOff>0</xdr:colOff>
      <xdr:row>13</xdr:row>
      <xdr:rowOff>0</xdr:rowOff>
    </xdr:to>
    <xdr:graphicFrame macro="">
      <xdr:nvGraphicFramePr>
        <xdr:cNvPr id="3" name="Recommendation Chart">
          <a:extLst>
            <a:ext uri="{FF2B5EF4-FFF2-40B4-BE49-F238E27FC236}">
              <a16:creationId xmlns:a16="http://schemas.microsoft.com/office/drawing/2014/main" id="{B3CDAFEF-659E-C359-7634-A202FC22D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14</xdr:row>
      <xdr:rowOff>0</xdr:rowOff>
    </xdr:from>
    <xdr:to>
      <xdr:col>11</xdr:col>
      <xdr:colOff>0</xdr:colOff>
      <xdr:row>27</xdr:row>
      <xdr:rowOff>0</xdr:rowOff>
    </xdr:to>
    <xdr:graphicFrame macro="">
      <xdr:nvGraphicFramePr>
        <xdr:cNvPr id="4" name="Reward Preference Chart">
          <a:extLst>
            <a:ext uri="{FF2B5EF4-FFF2-40B4-BE49-F238E27FC236}">
              <a16:creationId xmlns:a16="http://schemas.microsoft.com/office/drawing/2014/main" id="{9902CD33-BDEA-F367-A2D5-811E75D05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da carter" refreshedDate="46311.741008912039" createdVersion="8" refreshedVersion="8" minRefreshableVersion="3" recordCount="4" xr:uid="{3E742A44-2287-4443-816C-FABEC25DF23F}">
  <cacheSource type="worksheet">
    <worksheetSource name="Table1"/>
  </cacheSource>
  <cacheFields count="16">
    <cacheField name="ID" numFmtId="0">
      <sharedItems containsSemiMixedTypes="0" containsString="0" containsNumber="1" containsInteger="1" minValue="1" maxValue="4"/>
    </cacheField>
    <cacheField name="Start time" numFmtId="165">
      <sharedItems containsSemiMixedTypes="0" containsNonDate="0" containsDate="1" containsString="0" minDate="2026-10-15T10:32:25" maxDate="2026-10-16T13:50:42"/>
    </cacheField>
    <cacheField name="Completion time" numFmtId="165">
      <sharedItems containsSemiMixedTypes="0" containsNonDate="0" containsDate="1" containsString="0" minDate="2026-10-15T10:37:56" maxDate="2026-10-16T13:52:50"/>
    </cacheField>
    <cacheField name="Time" numFmtId="45">
      <sharedItems containsSemiMixedTypes="0" containsNonDate="0" containsDate="1" containsString="0" minDate="1899-12-30T00:02:08" maxDate="1899-12-30T00:05:31"/>
    </cacheField>
    <cacheField name="Email" numFmtId="0">
      <sharedItems/>
    </cacheField>
    <cacheField name="Name" numFmtId="0">
      <sharedItems/>
    </cacheField>
    <cacheField name="Last modified time" numFmtId="164">
      <sharedItems containsNonDate="0" containsString="0" containsBlank="1"/>
    </cacheField>
    <cacheField name="The Cheesecake Factory Customer Experience &amp; Rewards Program Survey_x000a_" numFmtId="0">
      <sharedItems/>
    </cacheField>
    <cacheField name="How would you rate your overall experience during your most recent visit?" numFmtId="0">
      <sharedItems containsString="0" containsBlank="1" containsNumber="1" containsInteger="1" minValue="4" maxValue="5"/>
    </cacheField>
    <cacheField name="What did you order during your visit? If you have visited more than once, what is your favorite item or go to order?" numFmtId="0">
      <sharedItems/>
    </cacheField>
    <cacheField name="What did you enjoy most about your visit?" numFmtId="0">
      <sharedItems/>
    </cacheField>
    <cacheField name="How likely are you to recommend The Cheesecake Factory to friends or family?_x000a_" numFmtId="0">
      <sharedItems count="2">
        <s v="Somewhat likely"/>
        <s v="Very likely"/>
      </sharedItems>
    </cacheField>
    <cacheField name="Which reward would encourage you to visit more often?_x000a_" numFmtId="0">
      <sharedItems count="2">
        <s v="Free slice of cheesecake"/>
        <s v="Points toward free meals"/>
      </sharedItems>
    </cacheField>
    <cacheField name="How would you prefer to receive rewards and promotions?_x000a_" numFmtId="0">
      <sharedItems containsBlank="1"/>
    </cacheField>
    <cacheField name=" Which new perk would interest you the most?_x000a_" numFmtId="0">
      <sharedItems/>
    </cacheField>
    <cacheField name="What suggestions do you have for improving your experience at The Cheesecake Factory? Please share any ideas, comments, or feedback that could help improve the food, service, atmosphere, or rewar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n v="1"/>
    <d v="2026-10-15T10:32:25"/>
    <d v="2026-10-15T10:37:56"/>
    <d v="1899-12-30T00:05:31"/>
    <s v="ilee@my.yearupunited.org"/>
    <s v="idasha lee"/>
    <m/>
    <s v="2–3 times a month"/>
    <m/>
    <s v="Pigs in a blanket, Terriyaki Salmon Bowl, Crab Dip, Fried Calamari and coconut cream cake cheesecake. My fav was the coconut cream cheesecake."/>
    <s v="Food quality;Menu Variety;Cheesecake selection;Value for money;"/>
    <x v="0"/>
    <x v="0"/>
    <s v="Mobile App"/>
    <s v="Members-only discounts"/>
    <s v="As much as I love how versatile the food selection is I made my waiter actually wait 3 hours before I could finally pick which food items I wanted to try. Next visit I will try 15 more items on this humongous menu. "/>
  </r>
  <r>
    <n v="2"/>
    <d v="2026-10-15T12:15:42"/>
    <d v="2026-10-15T12:17:58"/>
    <d v="1899-12-30T00:02:16"/>
    <s v="amccutcheon@my.yearupunited.org"/>
    <s v="arionsae mccutcheon"/>
    <m/>
    <s v="A few times a year"/>
    <n v="4"/>
    <s v="I ordered a Pineapple Upside Down Cheesecake Slice. Its my go-to and was delicious."/>
    <s v="Menu Variety;Restaurant atmosphere;Cheesecake selection;Value for money;"/>
    <x v="1"/>
    <x v="0"/>
    <s v="I would like free meals."/>
    <s v="Members-only discounts"/>
    <s v="I suggest you find a way to show customer appreciation a little more."/>
  </r>
  <r>
    <n v="3"/>
    <d v="2026-10-16T10:38:38"/>
    <d v="2026-10-16T10:41:55"/>
    <d v="1899-12-30T00:03:17"/>
    <s v="cspringer@my.yearupunited.org"/>
    <s v="christopher springer"/>
    <m/>
    <s v="This was my first visit"/>
    <n v="5"/>
    <s v="Chicken Parm Sandwich"/>
    <s v="Food quality;Customer Service;Menu Variety;Restaurant atmosphere;"/>
    <x v="1"/>
    <x v="1"/>
    <s v="Through an app"/>
    <s v="Members-only discounts"/>
    <s v="Add more locations in NYC please!!"/>
  </r>
  <r>
    <n v="4"/>
    <d v="2026-10-16T13:50:42"/>
    <d v="2026-10-16T13:52:50"/>
    <d v="1899-12-30T00:02:08"/>
    <s v="dmendez1@my.yearupunited.org"/>
    <s v="denae mendez"/>
    <m/>
    <s v="A few times a year"/>
    <n v="5"/>
    <s v="I ordered cinnamon pancakes and a slice of tiramisu cake"/>
    <s v="Food quality;Customer Service;Menu Variety;Restaurant atmosphere;Cheesecake selection;"/>
    <x v="1"/>
    <x v="0"/>
    <m/>
    <s v="Members-only discounts"/>
    <s v="The food was delicious! No complaint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6047A1-B7B6-4D32-AE89-065E089989DB}" name="RewardPivot"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15:B17" firstHeaderRow="1" firstDataRow="1" firstDataCol="1"/>
  <pivotFields count="16">
    <pivotField compact="0" outline="0" showAll="0"/>
    <pivotField compact="0" numFmtId="165" outline="0" showAll="0"/>
    <pivotField compact="0" numFmtId="165" outline="0" showAll="0"/>
    <pivotField compact="0" numFmtId="45"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s>
  <rowFields count="1">
    <field x="12"/>
  </rowFields>
  <rowItems count="2">
    <i>
      <x/>
    </i>
    <i>
      <x v="1"/>
    </i>
  </rowItems>
  <colItems count="1">
    <i/>
  </colItems>
  <dataFields count="1">
    <dataField name="Response Count"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4E27C7-C35D-4177-B2B5-5971B40B995B}" name="RecommendationPivot"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A5:B7" firstHeaderRow="1" firstDataRow="1" firstDataCol="1"/>
  <pivotFields count="16">
    <pivotField compact="0" outline="0" showAll="0"/>
    <pivotField compact="0" numFmtId="165" outline="0" showAll="0"/>
    <pivotField compact="0" numFmtId="165" outline="0" showAll="0"/>
    <pivotField compact="0" numFmtId="45"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s>
  <rowFields count="1">
    <field x="11"/>
  </rowFields>
  <rowItems count="2">
    <i>
      <x/>
    </i>
    <i>
      <x v="1"/>
    </i>
  </rowItems>
  <colItems count="1">
    <i/>
  </colItems>
  <dataFields count="1">
    <dataField name="Response Count" fld="4" subtotal="count"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6" totalsRowCount="1">
  <autoFilter ref="A1:P5" xr:uid="{00000000-0009-0000-0100-000001000000}"/>
  <tableColumns count="16">
    <tableColumn id="1" xr3:uid="{00000000-0010-0000-0000-000001000000}" name="ID" totalsRowLabel="Averages" dataDxfId="17"/>
    <tableColumn id="2" xr3:uid="{00000000-0010-0000-0000-000002000000}" name="Start time" dataDxfId="3"/>
    <tableColumn id="3" xr3:uid="{00000000-0010-0000-0000-000003000000}" name="Completion time" dataDxfId="2"/>
    <tableColumn id="16" xr3:uid="{EAF22AC6-F2B6-457C-83DD-50CD0CB5C476}" name="Time" totalsRowFunction="custom" dataDxfId="4" totalsRowDxfId="1">
      <calculatedColumnFormula>Table1[[#This Row],[Completion time]]-Table1[[#This Row],[Start time]]</calculatedColumnFormula>
      <totalsRowFormula>AVERAGE(Table1[Time])</totalsRowFormula>
    </tableColumn>
    <tableColumn id="4" xr3:uid="{00000000-0010-0000-0000-000004000000}" name="Email" dataDxfId="16"/>
    <tableColumn id="5" xr3:uid="{00000000-0010-0000-0000-000005000000}" name="Name" dataDxfId="15"/>
    <tableColumn id="6" xr3:uid="{00000000-0010-0000-0000-000006000000}" name="Last modified time" dataDxfId="14"/>
    <tableColumn id="7" xr3:uid="{00000000-0010-0000-0000-000007000000}" name="The Cheesecake Factory Customer Experience &amp; Rewards Program Survey_x000a_" dataDxfId="13"/>
    <tableColumn id="8" xr3:uid="{00000000-0010-0000-0000-000008000000}" name="How would you rate your overall experience during your most recent visit?" totalsRowFunction="custom" dataDxfId="12" totalsRowDxfId="0">
      <totalsRowFormula>AVERAGE(Table1[How would you rate your overall experience during your most recent visit?])</totalsRowFormula>
    </tableColumn>
    <tableColumn id="9" xr3:uid="{00000000-0010-0000-0000-000009000000}" name="What did you order during your visit? If you have visited more than once, what is your favorite item or go to order?" dataDxfId="11"/>
    <tableColumn id="10" xr3:uid="{00000000-0010-0000-0000-00000A000000}" name="What did you enjoy most about your visit?" dataDxfId="10"/>
    <tableColumn id="11" xr3:uid="{00000000-0010-0000-0000-00000B000000}" name="How likely are you to recommend The Cheesecake Factory to friends or family?_x000a_" dataDxfId="9"/>
    <tableColumn id="12" xr3:uid="{00000000-0010-0000-0000-00000C000000}" name="Which reward would encourage you to visit more often?_x000a_" dataDxfId="8"/>
    <tableColumn id="13" xr3:uid="{00000000-0010-0000-0000-00000D000000}" name="How would you prefer to receive rewards and promotions?_x000a_" dataDxfId="7"/>
    <tableColumn id="14" xr3:uid="{00000000-0010-0000-0000-00000E000000}" name=" Which new perk would interest you the most?_x000a_" dataDxfId="6"/>
    <tableColumn id="15" xr3:uid="{00000000-0010-0000-0000-00000F000000}" name="What suggestions do you have for improving your experience at The Cheesecake Factory? Please share any ideas, comments, or feedback that could help improve the food, service, atmosphere, or reward..."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
  <sheetViews>
    <sheetView topLeftCell="B1" workbookViewId="0">
      <selection activeCell="C8" sqref="C8"/>
    </sheetView>
  </sheetViews>
  <sheetFormatPr defaultRowHeight="14.4" x14ac:dyDescent="0.3"/>
  <cols>
    <col min="1" max="15" width="20" bestFit="1" customWidth="1"/>
    <col min="18" max="18" width="42.5546875" customWidth="1"/>
    <col min="19" max="19" width="16.6640625" customWidth="1"/>
  </cols>
  <sheetData>
    <row r="1" spans="1:19" x14ac:dyDescent="0.3">
      <c r="A1" t="s">
        <v>0</v>
      </c>
      <c r="B1" t="s">
        <v>1</v>
      </c>
      <c r="C1" t="s">
        <v>2</v>
      </c>
      <c r="D1" t="s">
        <v>46</v>
      </c>
      <c r="E1" t="s">
        <v>3</v>
      </c>
      <c r="F1" t="s">
        <v>4</v>
      </c>
      <c r="G1" t="s">
        <v>5</v>
      </c>
      <c r="H1" t="s">
        <v>6</v>
      </c>
      <c r="I1" t="s">
        <v>7</v>
      </c>
      <c r="J1" t="s">
        <v>8</v>
      </c>
      <c r="K1" t="s">
        <v>9</v>
      </c>
      <c r="L1" t="s">
        <v>10</v>
      </c>
      <c r="M1" t="s">
        <v>11</v>
      </c>
      <c r="N1" t="s">
        <v>12</v>
      </c>
      <c r="O1" t="s">
        <v>13</v>
      </c>
      <c r="P1" t="s">
        <v>14</v>
      </c>
      <c r="R1" s="9" t="s">
        <v>48</v>
      </c>
      <c r="S1" s="5" t="s">
        <v>49</v>
      </c>
    </row>
    <row r="2" spans="1:19" x14ac:dyDescent="0.3">
      <c r="A2">
        <v>1</v>
      </c>
      <c r="B2" s="3">
        <v>46310.43917824074</v>
      </c>
      <c r="C2" s="3">
        <v>46310.443009259259</v>
      </c>
      <c r="D2" s="2">
        <f>Table1[[#This Row],[Completion time]]-Table1[[#This Row],[Start time]]</f>
        <v>3.8310185191221535E-3</v>
      </c>
      <c r="E2" t="s">
        <v>15</v>
      </c>
      <c r="F2" t="s">
        <v>16</v>
      </c>
      <c r="G2" s="1"/>
      <c r="H2" t="s">
        <v>17</v>
      </c>
      <c r="J2" t="s">
        <v>18</v>
      </c>
      <c r="K2" t="s">
        <v>19</v>
      </c>
      <c r="L2" t="s">
        <v>20</v>
      </c>
      <c r="M2" t="s">
        <v>21</v>
      </c>
      <c r="N2" t="s">
        <v>22</v>
      </c>
      <c r="O2" t="s">
        <v>23</v>
      </c>
      <c r="P2" t="s">
        <v>24</v>
      </c>
      <c r="R2" s="10" t="s">
        <v>50</v>
      </c>
      <c r="S2" s="6">
        <f>ROWS(A2:A5)</f>
        <v>4</v>
      </c>
    </row>
    <row r="3" spans="1:19" x14ac:dyDescent="0.3">
      <c r="A3">
        <v>2</v>
      </c>
      <c r="B3" s="3">
        <v>46310.51090277778</v>
      </c>
      <c r="C3" s="3">
        <v>46310.512476851851</v>
      </c>
      <c r="D3" s="2">
        <f>Table1[[#This Row],[Completion time]]-Table1[[#This Row],[Start time]]</f>
        <v>1.5740740709588863E-3</v>
      </c>
      <c r="E3" t="s">
        <v>25</v>
      </c>
      <c r="F3" t="s">
        <v>26</v>
      </c>
      <c r="G3" s="1"/>
      <c r="H3" t="s">
        <v>27</v>
      </c>
      <c r="I3">
        <v>4</v>
      </c>
      <c r="J3" t="s">
        <v>28</v>
      </c>
      <c r="K3" t="s">
        <v>29</v>
      </c>
      <c r="L3" t="s">
        <v>30</v>
      </c>
      <c r="M3" t="s">
        <v>21</v>
      </c>
      <c r="N3" t="s">
        <v>31</v>
      </c>
      <c r="O3" t="s">
        <v>23</v>
      </c>
      <c r="P3" t="s">
        <v>32</v>
      </c>
      <c r="R3" s="10" t="s">
        <v>51</v>
      </c>
      <c r="S3" s="7">
        <f>AVERAGE(D2:D5)</f>
        <v>2.291666667588288E-3</v>
      </c>
    </row>
    <row r="4" spans="1:19" x14ac:dyDescent="0.3">
      <c r="A4">
        <v>3</v>
      </c>
      <c r="B4" s="3">
        <v>46311.443495370368</v>
      </c>
      <c r="C4" s="3">
        <v>46311.445775462962</v>
      </c>
      <c r="D4" s="2">
        <f>Table1[[#This Row],[Completion time]]-Table1[[#This Row],[Start time]]</f>
        <v>2.2800925944466144E-3</v>
      </c>
      <c r="E4" t="s">
        <v>33</v>
      </c>
      <c r="F4" t="s">
        <v>34</v>
      </c>
      <c r="G4" s="1"/>
      <c r="H4" t="s">
        <v>35</v>
      </c>
      <c r="I4">
        <v>5</v>
      </c>
      <c r="J4" t="s">
        <v>36</v>
      </c>
      <c r="K4" t="s">
        <v>37</v>
      </c>
      <c r="L4" t="s">
        <v>30</v>
      </c>
      <c r="M4" t="s">
        <v>38</v>
      </c>
      <c r="N4" t="s">
        <v>39</v>
      </c>
      <c r="O4" t="s">
        <v>23</v>
      </c>
      <c r="P4" t="s">
        <v>40</v>
      </c>
      <c r="R4" s="10" t="s">
        <v>52</v>
      </c>
      <c r="S4" s="8">
        <f>AVERAGE(I2:I5)</f>
        <v>4.666666666666667</v>
      </c>
    </row>
    <row r="5" spans="1:19" x14ac:dyDescent="0.3">
      <c r="A5">
        <v>4</v>
      </c>
      <c r="B5" s="3">
        <v>46311.576874999999</v>
      </c>
      <c r="C5" s="3">
        <v>46311.578356481485</v>
      </c>
      <c r="D5" s="2">
        <f>Table1[[#This Row],[Completion time]]-Table1[[#This Row],[Start time]]</f>
        <v>1.4814814858254977E-3</v>
      </c>
      <c r="E5" t="s">
        <v>41</v>
      </c>
      <c r="F5" t="s">
        <v>42</v>
      </c>
      <c r="G5" s="1"/>
      <c r="H5" t="s">
        <v>27</v>
      </c>
      <c r="I5">
        <v>5</v>
      </c>
      <c r="J5" t="s">
        <v>43</v>
      </c>
      <c r="K5" t="s">
        <v>44</v>
      </c>
      <c r="L5" t="s">
        <v>30</v>
      </c>
      <c r="M5" t="s">
        <v>21</v>
      </c>
      <c r="O5" t="s">
        <v>23</v>
      </c>
      <c r="P5" t="s">
        <v>45</v>
      </c>
      <c r="R5" s="10" t="s">
        <v>53</v>
      </c>
      <c r="S5" s="6">
        <f>SUM(COUNTIF(L2:L5,"Somewhat likely"),COUNTIF(L2:L5,"Very likely"))</f>
        <v>4</v>
      </c>
    </row>
    <row r="6" spans="1:19" x14ac:dyDescent="0.3">
      <c r="A6" t="s">
        <v>47</v>
      </c>
      <c r="D6" s="2">
        <f>AVERAGE(Table1[Time])</f>
        <v>2.291666667588288E-3</v>
      </c>
      <c r="I6" s="4">
        <f>AVERAGE(Table1[How would you rate your overall experience during your most recent visit?])</f>
        <v>4.666666666666667</v>
      </c>
      <c r="R6" s="10" t="s">
        <v>54</v>
      </c>
      <c r="S6" s="6">
        <f>COUNTIF(M2:M5,"Free slice of cheesecake")</f>
        <v>3</v>
      </c>
    </row>
    <row r="7" spans="1:19" x14ac:dyDescent="0.3">
      <c r="R7" s="10" t="s">
        <v>55</v>
      </c>
      <c r="S7" s="6">
        <f>COUNTIF(O2:O5,"Members-only discounts")</f>
        <v>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ADBDB-0928-422E-8097-DA86DA10CA8A}">
  <dimension ref="A1:B17"/>
  <sheetViews>
    <sheetView tabSelected="1" workbookViewId="0">
      <selection activeCell="C8" sqref="C8"/>
    </sheetView>
  </sheetViews>
  <sheetFormatPr defaultRowHeight="14.4" x14ac:dyDescent="0.3"/>
  <cols>
    <col min="1" max="1" width="46.33203125" customWidth="1"/>
    <col min="2" max="2" width="16.6640625" customWidth="1"/>
  </cols>
  <sheetData>
    <row r="1" spans="1:2" ht="21" x14ac:dyDescent="0.4">
      <c r="A1" s="13" t="s">
        <v>57</v>
      </c>
      <c r="B1" s="13"/>
    </row>
    <row r="2" spans="1:2" x14ac:dyDescent="0.3">
      <c r="A2" s="14" t="s">
        <v>58</v>
      </c>
      <c r="B2" s="14"/>
    </row>
    <row r="5" spans="1:2" x14ac:dyDescent="0.3">
      <c r="A5" s="11" t="s">
        <v>10</v>
      </c>
      <c r="B5" t="s">
        <v>56</v>
      </c>
    </row>
    <row r="6" spans="1:2" x14ac:dyDescent="0.3">
      <c r="A6" t="s">
        <v>20</v>
      </c>
      <c r="B6" s="12">
        <v>1</v>
      </c>
    </row>
    <row r="7" spans="1:2" x14ac:dyDescent="0.3">
      <c r="A7" t="s">
        <v>30</v>
      </c>
      <c r="B7" s="12">
        <v>3</v>
      </c>
    </row>
    <row r="15" spans="1:2" x14ac:dyDescent="0.3">
      <c r="A15" s="11" t="s">
        <v>11</v>
      </c>
      <c r="B15" t="s">
        <v>56</v>
      </c>
    </row>
    <row r="16" spans="1:2" x14ac:dyDescent="0.3">
      <c r="A16" t="s">
        <v>21</v>
      </c>
      <c r="B16" s="12">
        <v>3</v>
      </c>
    </row>
    <row r="17" spans="1:2" x14ac:dyDescent="0.3">
      <c r="A17" t="s">
        <v>38</v>
      </c>
      <c r="B17" s="12">
        <v>1</v>
      </c>
    </row>
  </sheetData>
  <mergeCells count="2">
    <mergeCell ref="A1:B1"/>
    <mergeCell ref="A2:B2"/>
  </mergeCell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Survey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jada carter</dc:creator>
  <cp:lastModifiedBy>jada carter</cp:lastModifiedBy>
  <dcterms:created xsi:type="dcterms:W3CDTF">2026-10-17T00:32:36Z</dcterms:created>
  <dcterms:modified xsi:type="dcterms:W3CDTF">2026-10-17T00:53:59Z</dcterms:modified>
</cp:coreProperties>
</file>