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jadacarter\Documents\DataAnalytics\PreWeek2\"/>
    </mc:Choice>
  </mc:AlternateContent>
  <xr:revisionPtr revIDLastSave="0" documentId="13_ncr:1_{AFA96B44-08D6-4A08-A3C7-B8E3142F5A67}" xr6:coauthVersionLast="47" xr6:coauthVersionMax="47" xr10:uidLastSave="{00000000-0000-0000-0000-000000000000}"/>
  <bookViews>
    <workbookView xWindow="-108" yWindow="-108" windowWidth="23256" windowHeight="13896" firstSheet="1" activeTab="1" xr2:uid="{1B0AFC83-732B-4610-B835-4EEEC5A5D10F}"/>
  </bookViews>
  <sheets>
    <sheet name="Store_Data" sheetId="1" r:id="rId1"/>
    <sheet name="Store_Summary"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H3" i="1" l="1"/>
  <c r="A9" i="1"/>
  <c r="H2" i="1"/>
  <c r="E2" i="1"/>
  <c r="E3" i="1"/>
  <c r="E5" i="1"/>
  <c r="E4" i="1"/>
  <c r="A4" i="1"/>
  <c r="A5" i="1"/>
  <c r="A6" i="1"/>
  <c r="A7" i="1"/>
  <c r="A8" i="1"/>
  <c r="A10" i="1"/>
  <c r="A11" i="1"/>
  <c r="A12" i="1"/>
  <c r="A13" i="1"/>
  <c r="A3" i="1"/>
</calcChain>
</file>

<file path=xl/sharedStrings.xml><?xml version="1.0" encoding="utf-8"?>
<sst xmlns="http://schemas.openxmlformats.org/spreadsheetml/2006/main" count="11" uniqueCount="11">
  <si>
    <t>Store</t>
  </si>
  <si>
    <t>Monthly Sales</t>
  </si>
  <si>
    <t>Store A</t>
  </si>
  <si>
    <t>MEDIAN</t>
  </si>
  <si>
    <t>MODE</t>
  </si>
  <si>
    <t>RANGE</t>
  </si>
  <si>
    <t>MEAN</t>
  </si>
  <si>
    <t>WITHOUT STORE H</t>
  </si>
  <si>
    <t xml:space="preserve">STANDARD  DEVIATION </t>
  </si>
  <si>
    <t>Store Sales Summary</t>
  </si>
  <si>
    <t>The overall average monthly sales performance is approximately 49.42, which indicates that most stores sell around 49 to 50 units per month. The sales figures are generally fairly consistent, with most stores falling between 43 and 52. The standard deviation of 7.63 suggests some variation in performance across locations. However, one store, Store H, reported sales of 72, which is much higher than the rest of the stores. When Store H is removed from the calculation, the standard deviation decreases significantly, showing that this value has a strong influence on the results. This suggests that store performance is more tightly grouped than it first appears. To better understand the differences in performance, I would want additional information such as store size, location, customer traffic, and promotional activities.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</si>
</sst>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b/>
      <sz val="11"/>
      <color theme="1"/>
      <name val="Aptos Narrow"/>
      <family val="2"/>
      <scheme val="minor"/>
    </font>
    <font>
      <b/>
      <sz val="16"/>
      <name val="Aptos Narrow"/>
      <family val="2"/>
      <scheme val="minor"/>
    </font>
    <font>
      <sz val="1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applyAlignment="1">
      <alignment horizontal="center" vertical="center"/>
    </xf>
    <xf numFmtId="0" fontId="0" fillId="0" borderId="0" xfId="0" applyAlignment="1">
      <alignment wrapText="1"/>
    </xf>
    <xf numFmtId="0" fontId="2" fillId="0" borderId="0" xfId="0" applyFont="1" applyFill="1" applyAlignment="1">
      <alignment vertical="center"/>
    </xf>
    <xf numFmtId="0" fontId="3" fillId="0" borderId="0" xfId="0" applyFont="1" applyFill="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24497-DB1D-4298-A9B6-8719951117A1}">
  <dimension ref="A1:H13"/>
  <sheetViews>
    <sheetView workbookViewId="0">
      <selection activeCell="G5" sqref="G5"/>
    </sheetView>
  </sheetViews>
  <sheetFormatPr defaultRowHeight="14.4" x14ac:dyDescent="0.3"/>
  <cols>
    <col min="1" max="1" width="14.109375" customWidth="1"/>
    <col min="2" max="2" width="12.33203125" customWidth="1"/>
    <col min="7" max="7" width="18.44140625" style="2" customWidth="1"/>
  </cols>
  <sheetData>
    <row r="1" spans="1:8" ht="28.8" customHeight="1" x14ac:dyDescent="0.3">
      <c r="A1" s="1" t="s">
        <v>0</v>
      </c>
      <c r="B1" s="1" t="s">
        <v>1</v>
      </c>
    </row>
    <row r="2" spans="1:8" ht="28.8" x14ac:dyDescent="0.3">
      <c r="A2" t="s">
        <v>2</v>
      </c>
      <c r="B2">
        <v>51</v>
      </c>
      <c r="D2" t="s">
        <v>6</v>
      </c>
      <c r="E2">
        <f>AVERAGE(B2:B13)</f>
        <v>49.416666666666664</v>
      </c>
      <c r="G2" s="2" t="s">
        <v>8</v>
      </c>
      <c r="H2">
        <f>_xlfn.STDEV.S(B2:B13)</f>
        <v>7.6331613054586773</v>
      </c>
    </row>
    <row r="3" spans="1:8" x14ac:dyDescent="0.3">
      <c r="A3" t="str">
        <f>"Store "&amp;CHAR(64+ROW()-1)</f>
        <v>Store B</v>
      </c>
      <c r="B3">
        <v>44</v>
      </c>
      <c r="D3" t="s">
        <v>3</v>
      </c>
      <c r="E3">
        <f>MEDIAN(B2:B13 )</f>
        <v>47.5</v>
      </c>
      <c r="G3" s="2" t="s">
        <v>7</v>
      </c>
      <c r="H3">
        <f>_xlfn.STDEV.S(B2:B8,B10:B13)</f>
        <v>2.9076701075853588</v>
      </c>
    </row>
    <row r="4" spans="1:8" x14ac:dyDescent="0.3">
      <c r="A4" t="str">
        <f t="shared" ref="A4:A13" si="0">"Store "&amp;CHAR(64+ROW()-1)</f>
        <v>Store C</v>
      </c>
      <c r="B4">
        <v>49</v>
      </c>
      <c r="D4" t="s">
        <v>4</v>
      </c>
      <c r="E4">
        <f>_xlfn.MODE.SNGL(B2:B13)</f>
        <v>46</v>
      </c>
    </row>
    <row r="5" spans="1:8" x14ac:dyDescent="0.3">
      <c r="A5" t="str">
        <f t="shared" si="0"/>
        <v>Store D</v>
      </c>
      <c r="B5">
        <v>46</v>
      </c>
      <c r="D5" t="s">
        <v>5</v>
      </c>
      <c r="E5">
        <f>MAX(B2:B13)-MIN(B2:B13)</f>
        <v>29</v>
      </c>
    </row>
    <row r="6" spans="1:8" x14ac:dyDescent="0.3">
      <c r="A6" t="str">
        <f t="shared" si="0"/>
        <v>Store E</v>
      </c>
      <c r="B6">
        <v>52</v>
      </c>
    </row>
    <row r="7" spans="1:8" x14ac:dyDescent="0.3">
      <c r="A7" t="str">
        <f t="shared" si="0"/>
        <v>Store F</v>
      </c>
      <c r="B7">
        <v>47</v>
      </c>
    </row>
    <row r="8" spans="1:8" x14ac:dyDescent="0.3">
      <c r="A8" t="str">
        <f t="shared" si="0"/>
        <v>Store G</v>
      </c>
      <c r="B8">
        <v>45</v>
      </c>
    </row>
    <row r="9" spans="1:8" x14ac:dyDescent="0.3">
      <c r="A9" t="str">
        <f>"Store "&amp;CHAR(64+ROW()-1)</f>
        <v>Store H</v>
      </c>
      <c r="B9">
        <v>72</v>
      </c>
    </row>
    <row r="10" spans="1:8" x14ac:dyDescent="0.3">
      <c r="A10" t="str">
        <f t="shared" si="0"/>
        <v>Store I</v>
      </c>
      <c r="B10">
        <v>43</v>
      </c>
    </row>
    <row r="11" spans="1:8" x14ac:dyDescent="0.3">
      <c r="A11" t="str">
        <f t="shared" si="0"/>
        <v>Store J</v>
      </c>
      <c r="B11">
        <v>48</v>
      </c>
    </row>
    <row r="12" spans="1:8" x14ac:dyDescent="0.3">
      <c r="A12" t="str">
        <f t="shared" si="0"/>
        <v>Store K</v>
      </c>
      <c r="B12">
        <v>46</v>
      </c>
    </row>
    <row r="13" spans="1:8" x14ac:dyDescent="0.3">
      <c r="A13" t="str">
        <f t="shared" si="0"/>
        <v>Store L</v>
      </c>
      <c r="B13">
        <v>50</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BF27BB-41F0-483D-900E-D7CF75F7872A}">
  <dimension ref="A1:F11"/>
  <sheetViews>
    <sheetView tabSelected="1" workbookViewId="0">
      <selection activeCell="C2" sqref="C2"/>
    </sheetView>
  </sheetViews>
  <sheetFormatPr defaultRowHeight="14.4" x14ac:dyDescent="0.3"/>
  <cols>
    <col min="1" max="6" width="15.77734375" customWidth="1"/>
  </cols>
  <sheetData>
    <row r="1" spans="1:6" ht="28.05" customHeight="1" x14ac:dyDescent="0.3">
      <c r="A1" s="3" t="s">
        <v>9</v>
      </c>
      <c r="B1" s="3"/>
      <c r="C1" s="3"/>
      <c r="D1" s="3"/>
      <c r="E1" s="3"/>
      <c r="F1" s="3"/>
    </row>
    <row r="2" spans="1:6" ht="21" customHeight="1" x14ac:dyDescent="0.3"/>
    <row r="3" spans="1:6" ht="24" customHeight="1" x14ac:dyDescent="0.3">
      <c r="A3" s="4" t="s">
        <v>10</v>
      </c>
      <c r="B3" s="4"/>
      <c r="C3" s="4"/>
      <c r="D3" s="4"/>
      <c r="E3" s="4"/>
      <c r="F3" s="4"/>
    </row>
    <row r="4" spans="1:6" ht="24" customHeight="1" x14ac:dyDescent="0.3">
      <c r="A4" s="4"/>
      <c r="B4" s="4"/>
      <c r="C4" s="4"/>
      <c r="D4" s="4"/>
      <c r="E4" s="4"/>
      <c r="F4" s="4"/>
    </row>
    <row r="5" spans="1:6" ht="24" customHeight="1" x14ac:dyDescent="0.3">
      <c r="A5" s="4"/>
      <c r="B5" s="4"/>
      <c r="C5" s="4"/>
      <c r="D5" s="4"/>
      <c r="E5" s="4"/>
      <c r="F5" s="4"/>
    </row>
    <row r="6" spans="1:6" ht="24" customHeight="1" x14ac:dyDescent="0.3">
      <c r="A6" s="4"/>
      <c r="B6" s="4"/>
      <c r="C6" s="4"/>
      <c r="D6" s="4"/>
      <c r="E6" s="4"/>
      <c r="F6" s="4"/>
    </row>
    <row r="7" spans="1:6" ht="24" customHeight="1" x14ac:dyDescent="0.3">
      <c r="A7" s="4"/>
      <c r="B7" s="4"/>
      <c r="C7" s="4"/>
      <c r="D7" s="4"/>
      <c r="E7" s="4"/>
      <c r="F7" s="4"/>
    </row>
    <row r="8" spans="1:6" ht="24" customHeight="1" x14ac:dyDescent="0.3">
      <c r="A8" s="4"/>
      <c r="B8" s="4"/>
      <c r="C8" s="4"/>
      <c r="D8" s="4"/>
      <c r="E8" s="4"/>
      <c r="F8" s="4"/>
    </row>
    <row r="9" spans="1:6" ht="24" customHeight="1" x14ac:dyDescent="0.3">
      <c r="A9" s="4"/>
      <c r="B9" s="4"/>
      <c r="C9" s="4"/>
      <c r="D9" s="4"/>
      <c r="E9" s="4"/>
      <c r="F9" s="4"/>
    </row>
    <row r="10" spans="1:6" ht="24" customHeight="1" x14ac:dyDescent="0.3">
      <c r="A10" s="4"/>
      <c r="B10" s="4"/>
      <c r="C10" s="4"/>
      <c r="D10" s="4"/>
      <c r="E10" s="4"/>
      <c r="F10" s="4"/>
    </row>
    <row r="11" spans="1:6" ht="10.050000000000001" customHeight="1" x14ac:dyDescent="0.3"/>
  </sheetData>
  <mergeCells count="2">
    <mergeCell ref="A1:F1"/>
    <mergeCell ref="A3:F10"/>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Store_Data</vt:lpstr>
      <vt:lpstr>Store_Summary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jada carter</dc:creator>
  <cp:lastModifiedBy>jada carter</cp:lastModifiedBy>
  <dcterms:created xsi:type="dcterms:W3CDTF">2026-10-05T06:34:07Z</dcterms:created>
  <dcterms:modified xsi:type="dcterms:W3CDTF">2026-10-06T23:01:29Z</dcterms:modified>
</cp:coreProperties>
</file>